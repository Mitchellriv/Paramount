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tes" sheetId="1" state="visible" r:id="rId3"/>
    <sheet name="Estimator" sheetId="2" state="visible" r:id="rId4"/>
    <sheet name="Quick Referenc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6" authorId="0">
      <text>
        <r>
          <rPr>
            <sz val="10"/>
            <rFont val="Arial"/>
            <family val="2"/>
          </rPr>
          <t xml:space="preserve">Hours are an estimator assumption, not from D&amp;R. Include drive time if they bill portal-to-portal.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3" authorId="0">
      <text>
        <r>
          <rPr>
            <sz val="10"/>
            <rFont val="Arial"/>
            <family val="2"/>
          </rPr>
          <t xml:space="preserve">Assumption, not from D&amp;R. Change to suit the job.</t>
        </r>
      </text>
    </comment>
  </commentList>
</comments>
</file>

<file path=xl/sharedStrings.xml><?xml version="1.0" encoding="utf-8"?>
<sst xmlns="http://schemas.openxmlformats.org/spreadsheetml/2006/main" count="72" uniqueCount="61">
  <si>
    <t xml:space="preserve">D&amp;R Prime and Tack — Vendor Rate Sheet (Paramount Asphalt)</t>
  </si>
  <si>
    <t xml:space="preserve">Rates as quoted by D&amp;R via text, 10/7/2026. Blue = vendor input; black = calculated.</t>
  </si>
  <si>
    <t xml:space="preserve">Item</t>
  </si>
  <si>
    <t xml:space="preserve">Rate</t>
  </si>
  <si>
    <t xml:space="preserve">Unit</t>
  </si>
  <si>
    <t xml:space="preserve">Notes</t>
  </si>
  <si>
    <t xml:space="preserve">Tack — material price</t>
  </si>
  <si>
    <t xml:space="preserve">$/gal</t>
  </si>
  <si>
    <t xml:space="preserve">Quoted by D&amp;R</t>
  </si>
  <si>
    <t xml:space="preserve">Tack — coverage</t>
  </si>
  <si>
    <t xml:space="preserve">SY/gal</t>
  </si>
  <si>
    <t xml:space="preserve">Quoted by D&amp;R (= 0.10 gal/SY)</t>
  </si>
  <si>
    <t xml:space="preserve">Tack — truck/crew hourly</t>
  </si>
  <si>
    <t xml:space="preserve">$/hr</t>
  </si>
  <si>
    <t xml:space="preserve">Quoted by D&amp;R. Confirm portal-to-portal vs. on-site only</t>
  </si>
  <si>
    <t xml:space="preserve">Prime</t>
  </si>
  <si>
    <t xml:space="preserve">$/SY</t>
  </si>
  <si>
    <t xml:space="preserve">Prime &amp; sand</t>
  </si>
  <si>
    <t xml:space="preserve">Minimum (prime / prime &amp; sand)</t>
  </si>
  <si>
    <t xml:space="preserve">SY</t>
  </si>
  <si>
    <t xml:space="preserve">Quoted by D&amp;R. Confirm whether it also applies to tack</t>
  </si>
  <si>
    <t xml:space="preserve">Derived</t>
  </si>
  <si>
    <t xml:space="preserve">Tack — material cost per SY</t>
  </si>
  <si>
    <t xml:space="preserve">Excludes hourly truck time</t>
  </si>
  <si>
    <t xml:space="preserve">Prime — minimum charge</t>
  </si>
  <si>
    <t xml:space="preserve">$</t>
  </si>
  <si>
    <t xml:space="preserve">1,500 SY × prime rate</t>
  </si>
  <si>
    <t xml:space="preserve">Prime &amp; sand — minimum charge</t>
  </si>
  <si>
    <t xml:space="preserve">1,500 SY × prime &amp; sand rate</t>
  </si>
  <si>
    <t xml:space="preserve">Open questions to confirm with D&amp;R before relying on these numbers:</t>
  </si>
  <si>
    <t xml:space="preserve">1. Is the $110/hr charged on top of the $5.75/gal for tack, or is it a separate minimum/mobilization?</t>
  </si>
  <si>
    <t xml:space="preserve">2. Does the 1,500 SY minimum apply to tack, or only prime / prime &amp; sand?</t>
  </si>
  <si>
    <t xml:space="preserve">3. Do the prime rates ($0.50 / $0.70 per SY) include labor, truck and sand, or is hourly added?</t>
  </si>
  <si>
    <t xml:space="preserve">4. Is hourly billed portal-to-portal (from their yard) or on-site time only? Any trip/mobilization charge?</t>
  </si>
  <si>
    <t xml:space="preserve">5. Is 10 SY/gal their standard application rate, or adjustable per spec (e.g., 0.05 gal/SY)?</t>
  </si>
  <si>
    <t xml:space="preserve">D&amp;R Prime &amp; Tack — Job Estimator</t>
  </si>
  <si>
    <t xml:space="preserve">Fill in the YELLOW cells only. Everything else calculates from the Rates tab.</t>
  </si>
  <si>
    <t xml:space="preserve">TACK</t>
  </si>
  <si>
    <t xml:space="preserve">Square yards</t>
  </si>
  <si>
    <t xml:space="preserve">Example values — overwrite</t>
  </si>
  <si>
    <t xml:space="preserve">Estimated truck hours</t>
  </si>
  <si>
    <t xml:space="preserve">Gallons</t>
  </si>
  <si>
    <t xml:space="preserve">Material</t>
  </si>
  <si>
    <t xml:space="preserve">Hourly</t>
  </si>
  <si>
    <t xml:space="preserve">Tack total</t>
  </si>
  <si>
    <t xml:space="preserve">Effective cost per SY</t>
  </si>
  <si>
    <t xml:space="preserve">PRIME</t>
  </si>
  <si>
    <t xml:space="preserve">Billable SY (1,500 min)</t>
  </si>
  <si>
    <t xml:space="preserve">Prime total</t>
  </si>
  <si>
    <t xml:space="preserve">PRIME &amp; SAND</t>
  </si>
  <si>
    <t xml:space="preserve">Prime &amp; sand total</t>
  </si>
  <si>
    <t xml:space="preserve">TOTAL D&amp;R COST (job)</t>
  </si>
  <si>
    <t xml:space="preserve">This is Paramount's COST from D&amp;R — add markup before it goes in a bid.</t>
  </si>
  <si>
    <t xml:space="preserve">D&amp;R Cost Quick Reference by Job Size</t>
  </si>
  <si>
    <t xml:space="preserve">Tack shown as material only + with an hourly allowance. Prime columns have the 1,500 SY minimum applied.</t>
  </si>
  <si>
    <t xml:space="preserve">Tack hrs allowance:</t>
  </si>
  <si>
    <t xml:space="preserve">Square Yards</t>
  </si>
  <si>
    <t xml:space="preserve">Tack Gallons</t>
  </si>
  <si>
    <t xml:space="preserve">Tack Material</t>
  </si>
  <si>
    <t xml:space="preserve">Tack + Hourly</t>
  </si>
  <si>
    <t xml:space="preserve">Prime &amp; Sand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</si>
</sst>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.00;&quot;($&quot;#,##0.00\);\-"/>
    <numFmt numFmtId="166" formatCode="#,##0;\(#,##0\);\-"/>
    <numFmt numFmtId="167" formatCode="\$#,##0;&quot;($&quot;#,##0\);\-"/>
    <numFmt numFmtId="168" formatCode="0.0"/>
    <numFmt numFmtId="169" formatCode="#,##0.0"/>
    <numFmt numFmtId="170" formatCode="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9"/>
      <color rgb="FFC00000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 diagonalUp="false" diagonalDown="false">
      <left/>
      <right/>
      <top style="medium"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2"/>
    <col collapsed="false" customWidth="true" hidden="false" outlineLevel="0" max="3" min="3" style="0" width="9"/>
    <col collapsed="false" customWidth="true" hidden="false" outlineLevel="0" max="4" min="4" style="0" width="58"/>
  </cols>
  <sheetData>
    <row r="1" customFormat="false" ht="25.5" hidden="false" customHeight="tru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5" t="n">
        <v>5.75</v>
      </c>
      <c r="C5" s="4" t="s">
        <v>7</v>
      </c>
      <c r="D5" s="4" t="s">
        <v>8</v>
      </c>
    </row>
    <row r="6" customFormat="false" ht="15" hidden="false" customHeight="false" outlineLevel="0" collapsed="false">
      <c r="A6" s="4" t="s">
        <v>9</v>
      </c>
      <c r="B6" s="6" t="n">
        <v>10</v>
      </c>
      <c r="C6" s="4" t="s">
        <v>10</v>
      </c>
      <c r="D6" s="4" t="s">
        <v>11</v>
      </c>
    </row>
    <row r="7" customFormat="false" ht="15" hidden="false" customHeight="false" outlineLevel="0" collapsed="false">
      <c r="A7" s="4" t="s">
        <v>12</v>
      </c>
      <c r="B7" s="5" t="n">
        <v>110</v>
      </c>
      <c r="C7" s="4" t="s">
        <v>13</v>
      </c>
      <c r="D7" s="4" t="s">
        <v>14</v>
      </c>
    </row>
    <row r="8" customFormat="false" ht="15" hidden="false" customHeight="false" outlineLevel="0" collapsed="false">
      <c r="A8" s="4" t="s">
        <v>15</v>
      </c>
      <c r="B8" s="5" t="n">
        <v>0.5</v>
      </c>
      <c r="C8" s="4" t="s">
        <v>16</v>
      </c>
      <c r="D8" s="4" t="s">
        <v>8</v>
      </c>
    </row>
    <row r="9" customFormat="false" ht="15" hidden="false" customHeight="false" outlineLevel="0" collapsed="false">
      <c r="A9" s="4" t="s">
        <v>17</v>
      </c>
      <c r="B9" s="5" t="n">
        <v>0.7</v>
      </c>
      <c r="C9" s="4" t="s">
        <v>16</v>
      </c>
      <c r="D9" s="4" t="s">
        <v>8</v>
      </c>
    </row>
    <row r="10" customFormat="false" ht="15" hidden="false" customHeight="false" outlineLevel="0" collapsed="false">
      <c r="A10" s="4" t="s">
        <v>18</v>
      </c>
      <c r="B10" s="6" t="n">
        <v>1500</v>
      </c>
      <c r="C10" s="4" t="s">
        <v>19</v>
      </c>
      <c r="D10" s="4" t="s">
        <v>20</v>
      </c>
    </row>
    <row r="12" customFormat="false" ht="15" hidden="false" customHeight="false" outlineLevel="0" collapsed="false">
      <c r="A12" s="7" t="s">
        <v>21</v>
      </c>
    </row>
    <row r="13" customFormat="false" ht="15" hidden="false" customHeight="false" outlineLevel="0" collapsed="false">
      <c r="A13" s="4" t="s">
        <v>22</v>
      </c>
      <c r="B13" s="8" t="n">
        <f aca="false">B5/B6</f>
        <v>0.575</v>
      </c>
      <c r="C13" s="4" t="s">
        <v>16</v>
      </c>
      <c r="D13" s="4" t="s">
        <v>23</v>
      </c>
    </row>
    <row r="14" customFormat="false" ht="15" hidden="false" customHeight="false" outlineLevel="0" collapsed="false">
      <c r="A14" s="4" t="s">
        <v>24</v>
      </c>
      <c r="B14" s="9" t="n">
        <f aca="false">B10*B8</f>
        <v>750</v>
      </c>
      <c r="C14" s="4" t="s">
        <v>25</v>
      </c>
      <c r="D14" s="4" t="s">
        <v>26</v>
      </c>
    </row>
    <row r="15" customFormat="false" ht="15" hidden="false" customHeight="false" outlineLevel="0" collapsed="false">
      <c r="A15" s="4" t="s">
        <v>27</v>
      </c>
      <c r="B15" s="9" t="n">
        <f aca="false">B10*B9</f>
        <v>1050</v>
      </c>
      <c r="C15" s="4" t="s">
        <v>25</v>
      </c>
      <c r="D15" s="4" t="s">
        <v>28</v>
      </c>
    </row>
    <row r="17" customFormat="false" ht="15" hidden="false" customHeight="false" outlineLevel="0" collapsed="false">
      <c r="A17" s="7" t="s">
        <v>29</v>
      </c>
    </row>
    <row r="18" customFormat="false" ht="15" hidden="false" customHeight="false" outlineLevel="0" collapsed="false">
      <c r="A18" s="10" t="s">
        <v>30</v>
      </c>
    </row>
    <row r="19" customFormat="false" ht="15" hidden="false" customHeight="false" outlineLevel="0" collapsed="false">
      <c r="A19" s="10" t="s">
        <v>31</v>
      </c>
    </row>
    <row r="20" customFormat="false" ht="15" hidden="false" customHeight="false" outlineLevel="0" collapsed="false">
      <c r="A20" s="10" t="s">
        <v>32</v>
      </c>
    </row>
    <row r="21" customFormat="false" ht="15" hidden="false" customHeight="false" outlineLevel="0" collapsed="false">
      <c r="A21" s="10" t="s">
        <v>33</v>
      </c>
    </row>
    <row r="22" customFormat="false" ht="15" hidden="false" customHeight="false" outlineLevel="0" collapsed="false">
      <c r="A22" s="10" t="s">
        <v>34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26"/>
  </cols>
  <sheetData>
    <row r="1" customFormat="false" ht="25.5" hidden="false" customHeight="true" outlineLevel="0" collapsed="false">
      <c r="A1" s="1" t="s">
        <v>35</v>
      </c>
      <c r="B1" s="1"/>
      <c r="C1" s="1"/>
    </row>
    <row r="2" customFormat="false" ht="15" hidden="false" customHeight="false" outlineLevel="0" collapsed="false">
      <c r="A2" s="2" t="s">
        <v>36</v>
      </c>
    </row>
    <row r="4" customFormat="false" ht="15" hidden="false" customHeight="false" outlineLevel="0" collapsed="false">
      <c r="A4" s="11" t="s">
        <v>37</v>
      </c>
      <c r="B4" s="12"/>
      <c r="C4" s="12"/>
    </row>
    <row r="5" customFormat="false" ht="15" hidden="false" customHeight="false" outlineLevel="0" collapsed="false">
      <c r="A5" s="10" t="s">
        <v>38</v>
      </c>
      <c r="B5" s="13" t="n">
        <v>3000</v>
      </c>
      <c r="C5" s="2" t="s">
        <v>39</v>
      </c>
    </row>
    <row r="6" customFormat="false" ht="15" hidden="false" customHeight="false" outlineLevel="0" collapsed="false">
      <c r="A6" s="10" t="s">
        <v>40</v>
      </c>
      <c r="B6" s="14" t="n">
        <v>3</v>
      </c>
    </row>
    <row r="7" customFormat="false" ht="15" hidden="false" customHeight="false" outlineLevel="0" collapsed="false">
      <c r="A7" s="10" t="s">
        <v>41</v>
      </c>
      <c r="B7" s="15" t="n">
        <f aca="false">B5/Rates!$B$6</f>
        <v>300</v>
      </c>
    </row>
    <row r="8" customFormat="false" ht="15" hidden="false" customHeight="false" outlineLevel="0" collapsed="false">
      <c r="A8" s="10" t="s">
        <v>42</v>
      </c>
      <c r="B8" s="8" t="n">
        <f aca="false">B7*Rates!$B$5</f>
        <v>1725</v>
      </c>
    </row>
    <row r="9" customFormat="false" ht="15" hidden="false" customHeight="false" outlineLevel="0" collapsed="false">
      <c r="A9" s="10" t="s">
        <v>43</v>
      </c>
      <c r="B9" s="8" t="n">
        <f aca="false">B6*Rates!$B$7</f>
        <v>330</v>
      </c>
    </row>
    <row r="10" customFormat="false" ht="15" hidden="false" customHeight="false" outlineLevel="0" collapsed="false">
      <c r="A10" s="7" t="s">
        <v>44</v>
      </c>
      <c r="B10" s="16" t="n">
        <f aca="false">B8+B9</f>
        <v>2055</v>
      </c>
    </row>
    <row r="11" customFormat="false" ht="15" hidden="false" customHeight="false" outlineLevel="0" collapsed="false">
      <c r="A11" s="10" t="s">
        <v>45</v>
      </c>
      <c r="B11" s="8" t="n">
        <f aca="false">IF(B5&gt;0,B10/B5,0)</f>
        <v>0.685</v>
      </c>
    </row>
    <row r="13" customFormat="false" ht="15" hidden="false" customHeight="false" outlineLevel="0" collapsed="false">
      <c r="A13" s="11" t="s">
        <v>46</v>
      </c>
      <c r="B13" s="12"/>
      <c r="C13" s="12"/>
    </row>
    <row r="14" customFormat="false" ht="15" hidden="false" customHeight="false" outlineLevel="0" collapsed="false">
      <c r="A14" s="10" t="s">
        <v>38</v>
      </c>
      <c r="B14" s="13" t="n">
        <v>0</v>
      </c>
    </row>
    <row r="15" customFormat="false" ht="15" hidden="false" customHeight="false" outlineLevel="0" collapsed="false">
      <c r="A15" s="10" t="s">
        <v>47</v>
      </c>
      <c r="B15" s="17" t="n">
        <f aca="false">IF(B14&gt;0,MAX(B14,Rates!$B$10),0)</f>
        <v>0</v>
      </c>
    </row>
    <row r="16" customFormat="false" ht="15" hidden="false" customHeight="false" outlineLevel="0" collapsed="false">
      <c r="A16" s="7" t="s">
        <v>48</v>
      </c>
      <c r="B16" s="16" t="n">
        <f aca="false">B15*Rates!$B$8</f>
        <v>0</v>
      </c>
    </row>
    <row r="17" customFormat="false" ht="15" hidden="false" customHeight="false" outlineLevel="0" collapsed="false">
      <c r="A17" s="10" t="s">
        <v>45</v>
      </c>
      <c r="B17" s="8" t="n">
        <f aca="false">IF(B14&gt;0,B16/B14,0)</f>
        <v>0</v>
      </c>
    </row>
    <row r="19" customFormat="false" ht="15" hidden="false" customHeight="false" outlineLevel="0" collapsed="false">
      <c r="A19" s="11" t="s">
        <v>49</v>
      </c>
      <c r="B19" s="12"/>
      <c r="C19" s="12"/>
    </row>
    <row r="20" customFormat="false" ht="15" hidden="false" customHeight="false" outlineLevel="0" collapsed="false">
      <c r="A20" s="10" t="s">
        <v>38</v>
      </c>
      <c r="B20" s="13" t="n">
        <v>0</v>
      </c>
    </row>
    <row r="21" customFormat="false" ht="15" hidden="false" customHeight="false" outlineLevel="0" collapsed="false">
      <c r="A21" s="10" t="s">
        <v>47</v>
      </c>
      <c r="B21" s="17" t="n">
        <f aca="false">IF(B20&gt;0,MAX(B20,Rates!$B$10),0)</f>
        <v>0</v>
      </c>
    </row>
    <row r="22" customFormat="false" ht="15" hidden="false" customHeight="false" outlineLevel="0" collapsed="false">
      <c r="A22" s="7" t="s">
        <v>50</v>
      </c>
      <c r="B22" s="16" t="n">
        <f aca="false">B21*Rates!$B$9</f>
        <v>0</v>
      </c>
    </row>
    <row r="23" customFormat="false" ht="15" hidden="false" customHeight="false" outlineLevel="0" collapsed="false">
      <c r="A23" s="10" t="s">
        <v>45</v>
      </c>
      <c r="B23" s="8" t="n">
        <f aca="false">IF(B20&gt;0,B22/B20,0)</f>
        <v>0</v>
      </c>
    </row>
    <row r="25" customFormat="false" ht="15" hidden="false" customHeight="false" outlineLevel="0" collapsed="false">
      <c r="A25" s="18" t="s">
        <v>51</v>
      </c>
      <c r="B25" s="19" t="n">
        <f aca="false">B10+B16+B22</f>
        <v>2055</v>
      </c>
    </row>
    <row r="26" customFormat="false" ht="15" hidden="false" customHeight="false" outlineLevel="0" collapsed="false">
      <c r="A26" s="20" t="s">
        <v>52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15"/>
  </cols>
  <sheetData>
    <row r="1" customFormat="false" ht="25.5" hidden="false" customHeight="true" outlineLevel="0" collapsed="false">
      <c r="A1" s="1" t="s">
        <v>53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54</v>
      </c>
    </row>
    <row r="3" customFormat="false" ht="15" hidden="false" customHeight="false" outlineLevel="0" collapsed="false">
      <c r="E3" s="21" t="s">
        <v>55</v>
      </c>
      <c r="F3" s="22" t="n">
        <v>3</v>
      </c>
    </row>
    <row r="5" customFormat="false" ht="15" hidden="false" customHeight="false" outlineLevel="0" collapsed="false">
      <c r="A5" s="23" t="s">
        <v>56</v>
      </c>
      <c r="B5" s="23" t="s">
        <v>57</v>
      </c>
      <c r="C5" s="23" t="s">
        <v>58</v>
      </c>
      <c r="D5" s="23" t="s">
        <v>59</v>
      </c>
      <c r="E5" s="23" t="s">
        <v>15</v>
      </c>
      <c r="F5" s="23" t="s">
        <v>60</v>
      </c>
    </row>
    <row r="6" customFormat="false" ht="15" hidden="false" customHeight="false" outlineLevel="0" collapsed="false">
      <c r="A6" s="6" t="n">
        <v>500</v>
      </c>
      <c r="B6" s="24" t="n">
        <f aca="false">A6/Rates!$B$6</f>
        <v>50</v>
      </c>
      <c r="C6" s="9" t="n">
        <f aca="false">B6*Rates!$B$5</f>
        <v>287.5</v>
      </c>
      <c r="D6" s="9" t="n">
        <f aca="false">C6+$F$3*Rates!$B$7</f>
        <v>617.5</v>
      </c>
      <c r="E6" s="9" t="n">
        <f aca="false">MAX(A6,Rates!$B$10)*Rates!$B$8</f>
        <v>750</v>
      </c>
      <c r="F6" s="9" t="n">
        <f aca="false">MAX(A6,Rates!$B$10)*Rates!$B$9</f>
        <v>1050</v>
      </c>
    </row>
    <row r="7" customFormat="false" ht="15" hidden="false" customHeight="false" outlineLevel="0" collapsed="false">
      <c r="A7" s="6" t="n">
        <v>1000</v>
      </c>
      <c r="B7" s="24" t="n">
        <f aca="false">A7/Rates!$B$6</f>
        <v>100</v>
      </c>
      <c r="C7" s="9" t="n">
        <f aca="false">B7*Rates!$B$5</f>
        <v>575</v>
      </c>
      <c r="D7" s="9" t="n">
        <f aca="false">C7+$F$3*Rates!$B$7</f>
        <v>905</v>
      </c>
      <c r="E7" s="9" t="n">
        <f aca="false">MAX(A7,Rates!$B$10)*Rates!$B$8</f>
        <v>750</v>
      </c>
      <c r="F7" s="9" t="n">
        <f aca="false">MAX(A7,Rates!$B$10)*Rates!$B$9</f>
        <v>1050</v>
      </c>
    </row>
    <row r="8" customFormat="false" ht="15" hidden="false" customHeight="false" outlineLevel="0" collapsed="false">
      <c r="A8" s="6" t="n">
        <v>1500</v>
      </c>
      <c r="B8" s="24" t="n">
        <f aca="false">A8/Rates!$B$6</f>
        <v>150</v>
      </c>
      <c r="C8" s="9" t="n">
        <f aca="false">B8*Rates!$B$5</f>
        <v>862.5</v>
      </c>
      <c r="D8" s="9" t="n">
        <f aca="false">C8+$F$3*Rates!$B$7</f>
        <v>1192.5</v>
      </c>
      <c r="E8" s="9" t="n">
        <f aca="false">MAX(A8,Rates!$B$10)*Rates!$B$8</f>
        <v>750</v>
      </c>
      <c r="F8" s="9" t="n">
        <f aca="false">MAX(A8,Rates!$B$10)*Rates!$B$9</f>
        <v>1050</v>
      </c>
    </row>
    <row r="9" customFormat="false" ht="15" hidden="false" customHeight="false" outlineLevel="0" collapsed="false">
      <c r="A9" s="6" t="n">
        <v>2000</v>
      </c>
      <c r="B9" s="24" t="n">
        <f aca="false">A9/Rates!$B$6</f>
        <v>200</v>
      </c>
      <c r="C9" s="9" t="n">
        <f aca="false">B9*Rates!$B$5</f>
        <v>1150</v>
      </c>
      <c r="D9" s="9" t="n">
        <f aca="false">C9+$F$3*Rates!$B$7</f>
        <v>1480</v>
      </c>
      <c r="E9" s="9" t="n">
        <f aca="false">MAX(A9,Rates!$B$10)*Rates!$B$8</f>
        <v>1000</v>
      </c>
      <c r="F9" s="9" t="n">
        <f aca="false">MAX(A9,Rates!$B$10)*Rates!$B$9</f>
        <v>1400</v>
      </c>
    </row>
    <row r="10" customFormat="false" ht="15" hidden="false" customHeight="false" outlineLevel="0" collapsed="false">
      <c r="A10" s="6" t="n">
        <v>2500</v>
      </c>
      <c r="B10" s="24" t="n">
        <f aca="false">A10/Rates!$B$6</f>
        <v>250</v>
      </c>
      <c r="C10" s="9" t="n">
        <f aca="false">B10*Rates!$B$5</f>
        <v>1437.5</v>
      </c>
      <c r="D10" s="9" t="n">
        <f aca="false">C10+$F$3*Rates!$B$7</f>
        <v>1767.5</v>
      </c>
      <c r="E10" s="9" t="n">
        <f aca="false">MAX(A10,Rates!$B$10)*Rates!$B$8</f>
        <v>1250</v>
      </c>
      <c r="F10" s="9" t="n">
        <f aca="false">MAX(A10,Rates!$B$10)*Rates!$B$9</f>
        <v>1750</v>
      </c>
    </row>
    <row r="11" customFormat="false" ht="15" hidden="false" customHeight="false" outlineLevel="0" collapsed="false">
      <c r="A11" s="6" t="n">
        <v>3000</v>
      </c>
      <c r="B11" s="24" t="n">
        <f aca="false">A11/Rates!$B$6</f>
        <v>300</v>
      </c>
      <c r="C11" s="9" t="n">
        <f aca="false">B11*Rates!$B$5</f>
        <v>1725</v>
      </c>
      <c r="D11" s="9" t="n">
        <f aca="false">C11+$F$3*Rates!$B$7</f>
        <v>2055</v>
      </c>
      <c r="E11" s="9" t="n">
        <f aca="false">MAX(A11,Rates!$B$10)*Rates!$B$8</f>
        <v>1500</v>
      </c>
      <c r="F11" s="9" t="n">
        <f aca="false">MAX(A11,Rates!$B$10)*Rates!$B$9</f>
        <v>2100</v>
      </c>
    </row>
    <row r="12" customFormat="false" ht="15" hidden="false" customHeight="false" outlineLevel="0" collapsed="false">
      <c r="A12" s="6" t="n">
        <v>4000</v>
      </c>
      <c r="B12" s="24" t="n">
        <f aca="false">A12/Rates!$B$6</f>
        <v>400</v>
      </c>
      <c r="C12" s="9" t="n">
        <f aca="false">B12*Rates!$B$5</f>
        <v>2300</v>
      </c>
      <c r="D12" s="9" t="n">
        <f aca="false">C12+$F$3*Rates!$B$7</f>
        <v>2630</v>
      </c>
      <c r="E12" s="9" t="n">
        <f aca="false">MAX(A12,Rates!$B$10)*Rates!$B$8</f>
        <v>2000</v>
      </c>
      <c r="F12" s="9" t="n">
        <f aca="false">MAX(A12,Rates!$B$10)*Rates!$B$9</f>
        <v>2800</v>
      </c>
    </row>
    <row r="13" customFormat="false" ht="15" hidden="false" customHeight="false" outlineLevel="0" collapsed="false">
      <c r="A13" s="6" t="n">
        <v>5000</v>
      </c>
      <c r="B13" s="24" t="n">
        <f aca="false">A13/Rates!$B$6</f>
        <v>500</v>
      </c>
      <c r="C13" s="9" t="n">
        <f aca="false">B13*Rates!$B$5</f>
        <v>2875</v>
      </c>
      <c r="D13" s="9" t="n">
        <f aca="false">C13+$F$3*Rates!$B$7</f>
        <v>3205</v>
      </c>
      <c r="E13" s="9" t="n">
        <f aca="false">MAX(A13,Rates!$B$10)*Rates!$B$8</f>
        <v>2500</v>
      </c>
      <c r="F13" s="9" t="n">
        <f aca="false">MAX(A13,Rates!$B$10)*Rates!$B$9</f>
        <v>3500</v>
      </c>
    </row>
    <row r="14" customFormat="false" ht="15" hidden="false" customHeight="false" outlineLevel="0" collapsed="false">
      <c r="A14" s="6" t="n">
        <v>7500</v>
      </c>
      <c r="B14" s="24" t="n">
        <f aca="false">A14/Rates!$B$6</f>
        <v>750</v>
      </c>
      <c r="C14" s="9" t="n">
        <f aca="false">B14*Rates!$B$5</f>
        <v>4312.5</v>
      </c>
      <c r="D14" s="9" t="n">
        <f aca="false">C14+$F$3*Rates!$B$7</f>
        <v>4642.5</v>
      </c>
      <c r="E14" s="9" t="n">
        <f aca="false">MAX(A14,Rates!$B$10)*Rates!$B$8</f>
        <v>3750</v>
      </c>
      <c r="F14" s="9" t="n">
        <f aca="false">MAX(A14,Rates!$B$10)*Rates!$B$9</f>
        <v>5250</v>
      </c>
    </row>
    <row r="15" customFormat="false" ht="15" hidden="false" customHeight="false" outlineLevel="0" collapsed="false">
      <c r="A15" s="6" t="n">
        <v>10000</v>
      </c>
      <c r="B15" s="24" t="n">
        <f aca="false">A15/Rates!$B$6</f>
        <v>1000</v>
      </c>
      <c r="C15" s="9" t="n">
        <f aca="false">B15*Rates!$B$5</f>
        <v>5750</v>
      </c>
      <c r="D15" s="9" t="n">
        <f aca="false">C15+$F$3*Rates!$B$7</f>
        <v>6080</v>
      </c>
      <c r="E15" s="9" t="n">
        <f aca="false">MAX(A15,Rates!$B$10)*Rates!$B$8</f>
        <v>5000</v>
      </c>
      <c r="F15" s="9" t="n">
        <f aca="false">MAX(A15,Rates!$B$10)*Rates!$B$9</f>
        <v>7000</v>
      </c>
    </row>
    <row r="16" customFormat="false" ht="15" hidden="false" customHeight="false" outlineLevel="0" collapsed="false">
      <c r="A16" s="6" t="n">
        <v>15000</v>
      </c>
      <c r="B16" s="24" t="n">
        <f aca="false">A16/Rates!$B$6</f>
        <v>1500</v>
      </c>
      <c r="C16" s="9" t="n">
        <f aca="false">B16*Rates!$B$5</f>
        <v>8625</v>
      </c>
      <c r="D16" s="9" t="n">
        <f aca="false">C16+$F$3*Rates!$B$7</f>
        <v>8955</v>
      </c>
      <c r="E16" s="9" t="n">
        <f aca="false">MAX(A16,Rates!$B$10)*Rates!$B$8</f>
        <v>7500</v>
      </c>
      <c r="F16" s="9" t="n">
        <f aca="false">MAX(A16,Rates!$B$10)*Rates!$B$9</f>
        <v>10500</v>
      </c>
    </row>
    <row r="17" customFormat="false" ht="15" hidden="false" customHeight="false" outlineLevel="0" collapsed="false">
      <c r="A17" s="6" t="n">
        <v>20000</v>
      </c>
      <c r="B17" s="24" t="n">
        <f aca="false">A17/Rates!$B$6</f>
        <v>2000</v>
      </c>
      <c r="C17" s="9" t="n">
        <f aca="false">B17*Rates!$B$5</f>
        <v>11500</v>
      </c>
      <c r="D17" s="9" t="n">
        <f aca="false">C17+$F$3*Rates!$B$7</f>
        <v>11830</v>
      </c>
      <c r="E17" s="9" t="n">
        <f aca="false">MAX(A17,Rates!$B$10)*Rates!$B$8</f>
        <v>10000</v>
      </c>
      <c r="F17" s="9" t="n">
        <f aca="false">MAX(A17,Rates!$B$10)*Rates!$B$9</f>
        <v>14000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2026-10-07T13:35:19Z</dcterms:created>
  <dc:creator>openpyxl</dc:creator>
  <dc:description/>
  <dc:language>en-US</dc:language>
  <cp:lastModifiedBy/>
  <dcterms:modified xsi:type="dcterms:W3CDTF">2026-10-07T13:35:19Z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